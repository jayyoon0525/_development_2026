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Development_2026\Python_2026\"/>
    </mc:Choice>
  </mc:AlternateContent>
  <xr:revisionPtr revIDLastSave="0" documentId="13_ncr:9_{92C751C3-7D43-4ADA-BCF4-65ECA43441B6}" xr6:coauthVersionLast="47" xr6:coauthVersionMax="47" xr10:uidLastSave="{00000000-0000-0000-0000-000000000000}"/>
  <bookViews>
    <workbookView xWindow="-120" yWindow="-120" windowWidth="29040" windowHeight="17520" xr2:uid="{11C83BD3-EFE0-40C3-BAD3-524289020AF7}"/>
  </bookViews>
  <sheets>
    <sheet name="export" sheetId="1" r:id="rId1"/>
  </sheets>
  <calcPr calcId="0" concurrentManualCount="12"/>
</workbook>
</file>

<file path=xl/calcChain.xml><?xml version="1.0" encoding="utf-8"?>
<calcChain xmlns="http://schemas.openxmlformats.org/spreadsheetml/2006/main">
  <c r="H15" i="1" l="1"/>
  <c r="G15" i="1"/>
  <c r="F15" i="1"/>
  <c r="E15" i="1"/>
  <c r="M11" i="1"/>
  <c r="K11" i="1"/>
  <c r="I11" i="1"/>
  <c r="G11" i="1"/>
  <c r="H14" i="1"/>
  <c r="G14" i="1"/>
  <c r="F14" i="1"/>
  <c r="E14" i="1"/>
  <c r="Q15" i="1" l="1"/>
  <c r="Q14" i="1"/>
  <c r="L11" i="1"/>
  <c r="J11" i="1"/>
  <c r="H11" i="1"/>
  <c r="F11" i="1"/>
</calcChain>
</file>

<file path=xl/sharedStrings.xml><?xml version="1.0" encoding="utf-8"?>
<sst xmlns="http://schemas.openxmlformats.org/spreadsheetml/2006/main" count="70" uniqueCount="50">
  <si>
    <t>Item</t>
  </si>
  <si>
    <t>Weight</t>
  </si>
  <si>
    <t>Target</t>
  </si>
  <si>
    <t>Penalty(Minus)</t>
  </si>
  <si>
    <t>Incentive(Plus)</t>
  </si>
  <si>
    <t>Meeting target date of tasks in Jira tickets</t>
  </si>
  <si>
    <t>Very High</t>
  </si>
  <si>
    <t>0 cases(100%): 2.5
1-2 cases : -0.5
3-5 cases: Story point -1
6-9 cases: Story point -1.5
10-12 cases: Story point -2
&lt;13 cases: Story point -2.5</t>
  </si>
  <si>
    <t>Job Status update
repoting of general blockers/ job stoppers</t>
  </si>
  <si>
    <t>High</t>
  </si>
  <si>
    <t>0 cases(100%): 2
1-2 cases : -0.5
3-5 cases: Story point -1
6-9 cases: Story point -1.5
&lt;10 cases: Story point -2</t>
  </si>
  <si>
    <t>Resource issue for tasks mentioned in RFQ</t>
  </si>
  <si>
    <t>Follow up guidelines for tasks &amp; release note for testing
- Maintenance activity not following general process
 - Following test car usage PI</t>
  </si>
  <si>
    <t>All the information and knowledge what we provided and working log, specification should be kept and trained internally</t>
  </si>
  <si>
    <t>Mid</t>
  </si>
  <si>
    <t>All achieved (100%): 1.5
1-2 cases : -0.5
3-5 cases: Story point -1
&lt;6 cases: Story point -1.5</t>
  </si>
  <si>
    <t>KPM Ticket rules
 - KPM Ticket creation
 - KPM Check-back
 - KPM Verification</t>
  </si>
  <si>
    <t>KPM ticket quality</t>
  </si>
  <si>
    <t>Free testing</t>
  </si>
  <si>
    <t>0 cases(100%): 2.5
No Free test: 0
1-2 cases : -0.5
3-5 cases: Story point -1
6-9 cases: Story point -1.5
10-12 cases: Story point -2
&lt;13 cases: Story point -2.5</t>
  </si>
  <si>
    <t>May (Count)</t>
    <phoneticPr fontId="18" type="noConversion"/>
  </si>
  <si>
    <t>KPI</t>
  </si>
  <si>
    <t>Jun (Count)</t>
    <phoneticPr fontId="18" type="noConversion"/>
  </si>
  <si>
    <t>KPI</t>
    <phoneticPr fontId="18" type="noConversion"/>
  </si>
  <si>
    <t>Jul(Count)</t>
    <phoneticPr fontId="18" type="noConversion"/>
  </si>
  <si>
    <t>Aug(Count)</t>
    <phoneticPr fontId="18" type="noConversion"/>
  </si>
  <si>
    <t>Sep(Count)</t>
    <phoneticPr fontId="18" type="noConversion"/>
  </si>
  <si>
    <t>Oct(Count)</t>
    <phoneticPr fontId="18" type="noConversion"/>
  </si>
  <si>
    <t>Nov(Count)</t>
    <phoneticPr fontId="18" type="noConversion"/>
  </si>
  <si>
    <t>Dec(Count)</t>
    <phoneticPr fontId="18" type="noConversion"/>
  </si>
  <si>
    <t>Jan (Count)</t>
  </si>
  <si>
    <t>Feb (Count)</t>
  </si>
  <si>
    <t>Mar(Count)</t>
  </si>
  <si>
    <t>Apr(Count)</t>
  </si>
  <si>
    <t>Max</t>
    <phoneticPr fontId="18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</si>
  <si>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</si>
  <si>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</si>
  <si>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</si>
  <si>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</si>
  <si>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</si>
  <si>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</si>
  <si>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</si>
  <si>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</si>
  <si>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</si>
  <si>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</si>
  <si>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</si>
  <si>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</si>
  <si>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  <phoneticPr fontId="18" type="noConversion"/>
  </si>
  <si>
    <t>Case (Max 85 cases) - Target 0%</t>
    <phoneticPr fontId="18" type="noConversion"/>
  </si>
  <si>
    <t>Value (Max 16.5 point) - Target 100%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</si>
</sst>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>
      <alignment vertical="center"/>
    </xf>
    <xf numFmtId="9" fontId="0" fillId="0" borderId="10" xfId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export!$C$14</c:f>
              <c:strCache>
                <c:ptCount val="1"/>
                <c:pt idx="0">
                  <c:v>Case (Max 85 cases) - Target 0%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export!$D$13:$P$13</c:f>
              <c:strCache>
                <c:ptCount val="13"/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export!$D$14:$P$14</c:f>
              <c:numCache>
                <c:formatCode>0%</c:formatCode>
                <c:ptCount val="13"/>
                <c:pt idx="1">
                  <c:v>4.7058823529411764E-2</c:v>
                </c:pt>
                <c:pt idx="2">
                  <c:v>0</c:v>
                </c:pt>
                <c:pt idx="3">
                  <c:v>4.7058823529411764E-2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4-45BD-BD71-FCAD506007C9}"/>
            </c:ext>
          </c:extLst>
        </c:ser>
        <c:ser>
          <c:idx val="1"/>
          <c:order val="1"/>
          <c:tx>
            <c:strRef>
              <c:f>export!$C$15</c:f>
              <c:strCache>
                <c:ptCount val="1"/>
                <c:pt idx="0">
                  <c:v>Value (Max 16.5 point) - Target 100%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export!$D$13:$P$13</c:f>
              <c:strCache>
                <c:ptCount val="13"/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export!$D$15:$P$15</c:f>
              <c:numCache>
                <c:formatCode>0%</c:formatCode>
                <c:ptCount val="13"/>
                <c:pt idx="1">
                  <c:v>0.51515151515151514</c:v>
                </c:pt>
                <c:pt idx="2">
                  <c:v>0.84848484848484851</c:v>
                </c:pt>
                <c:pt idx="3">
                  <c:v>0.33333333333333331</c:v>
                </c:pt>
                <c:pt idx="4">
                  <c:v>0.84848484848484851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4-45BD-BD71-FCAD50600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6902736"/>
        <c:axId val="1676906576"/>
      </c:barChart>
      <c:catAx>
        <c:axId val="167690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76906576"/>
        <c:crosses val="autoZero"/>
        <c:auto val="1"/>
        <c:lblAlgn val="ctr"/>
        <c:lblOffset val="100"/>
        <c:noMultiLvlLbl val="0"/>
      </c:catAx>
      <c:valAx>
        <c:axId val="167690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7690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80961</xdr:colOff>
      <xdr:row>15</xdr:row>
      <xdr:rowOff>138112</xdr:rowOff>
    </xdr:from>
    <xdr:to>
      <xdr:col>15</xdr:col>
      <xdr:colOff>561974</xdr:colOff>
      <xdr:row>28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FBE7EB-5ACE-F88F-5710-C12D2D6E6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A28DD-9CDF-4138-BEA4-3EFF50C226FE}">
  <dimension ref="A1:AC15"/>
  <sheetViews>
    <sheetView tabSelected="1" topLeftCell="A7" workbookViewId="0">
      <selection activeCell="O8" sqref="O8"/>
    </sheetView>
  </sheetViews>
  <sheetFormatPr defaultRowHeight="16.5" x14ac:dyDescent="0.3"/>
  <cols>
    <col min="1" max="1" width="29.5" customWidth="1"/>
    <col min="2" max="2" width="13" customWidth="1"/>
    <col min="3" max="3" width="36.5" customWidth="1"/>
    <col min="4" max="13" width="9" style="2"/>
  </cols>
  <sheetData>
    <row r="1" spans="1:29" s="1" customFormat="1" ht="33" x14ac:dyDescent="0.3">
      <c r="A1" s="6" t="s">
        <v>0</v>
      </c>
      <c r="B1" s="6" t="s">
        <v>1</v>
      </c>
      <c r="C1" s="6" t="s">
        <v>2</v>
      </c>
      <c r="D1" s="5" t="s">
        <v>3</v>
      </c>
      <c r="E1" s="5" t="s">
        <v>4</v>
      </c>
      <c r="F1" s="5" t="s">
        <v>30</v>
      </c>
      <c r="G1" s="5" t="s">
        <v>21</v>
      </c>
      <c r="H1" s="5" t="s">
        <v>31</v>
      </c>
      <c r="I1" s="5" t="s">
        <v>21</v>
      </c>
      <c r="J1" s="5" t="s">
        <v>32</v>
      </c>
      <c r="K1" s="5" t="s">
        <v>21</v>
      </c>
      <c r="L1" s="5" t="s">
        <v>33</v>
      </c>
      <c r="M1" s="5" t="s">
        <v>21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21</v>
      </c>
      <c r="T1" s="4" t="s">
        <v>25</v>
      </c>
      <c r="U1" s="4" t="s">
        <v>21</v>
      </c>
      <c r="V1" s="4" t="s">
        <v>26</v>
      </c>
      <c r="W1" s="4" t="s">
        <v>21</v>
      </c>
      <c r="X1" s="4" t="s">
        <v>27</v>
      </c>
      <c r="Y1" s="4" t="s">
        <v>21</v>
      </c>
      <c r="Z1" s="4" t="s">
        <v>28</v>
      </c>
      <c r="AA1" s="4" t="s">
        <v>21</v>
      </c>
      <c r="AB1" s="4" t="s">
        <v>29</v>
      </c>
      <c r="AC1" s="4" t="s">
        <v>21</v>
      </c>
    </row>
    <row r="2" spans="1:29" ht="99" x14ac:dyDescent="0.3">
      <c r="A2" s="7" t="s">
        <v>5</v>
      </c>
      <c r="B2" s="7" t="s">
        <v>6</v>
      </c>
      <c r="C2" s="6" t="s">
        <v>7</v>
      </c>
      <c r="D2" s="3">
        <v>2.5</v>
      </c>
      <c r="E2" s="3">
        <v>2.5</v>
      </c>
      <c r="F2" s="3">
        <v>2</v>
      </c>
      <c r="G2" s="3">
        <v>-0.5</v>
      </c>
      <c r="H2" s="3">
        <v>0</v>
      </c>
      <c r="I2" s="3">
        <v>2.5</v>
      </c>
      <c r="J2" s="3">
        <v>1</v>
      </c>
      <c r="K2" s="3">
        <v>-0.5</v>
      </c>
      <c r="L2" s="3">
        <v>0</v>
      </c>
      <c r="M2" s="3">
        <v>2.5</v>
      </c>
    </row>
    <row r="3" spans="1:29" ht="82.5" x14ac:dyDescent="0.3">
      <c r="A3" s="6" t="s">
        <v>8</v>
      </c>
      <c r="B3" s="7" t="s">
        <v>9</v>
      </c>
      <c r="C3" s="6" t="s">
        <v>10</v>
      </c>
      <c r="D3" s="3">
        <v>2</v>
      </c>
      <c r="E3" s="3">
        <v>2</v>
      </c>
      <c r="F3" s="3">
        <v>0</v>
      </c>
      <c r="G3" s="3">
        <v>2</v>
      </c>
      <c r="H3" s="3">
        <v>0</v>
      </c>
      <c r="I3" s="3">
        <v>2</v>
      </c>
      <c r="J3" s="3">
        <v>0</v>
      </c>
      <c r="K3" s="3">
        <v>2</v>
      </c>
      <c r="L3" s="3">
        <v>0</v>
      </c>
      <c r="M3" s="3">
        <v>2</v>
      </c>
    </row>
    <row r="4" spans="1:29" ht="82.5" x14ac:dyDescent="0.3">
      <c r="A4" s="7" t="s">
        <v>11</v>
      </c>
      <c r="B4" s="7" t="s">
        <v>9</v>
      </c>
      <c r="C4" s="6" t="s">
        <v>10</v>
      </c>
      <c r="D4" s="3">
        <v>2</v>
      </c>
      <c r="E4" s="3">
        <v>2</v>
      </c>
      <c r="F4" s="3">
        <v>0</v>
      </c>
      <c r="G4" s="3">
        <v>2</v>
      </c>
      <c r="H4" s="3">
        <v>0</v>
      </c>
      <c r="I4" s="3">
        <v>2</v>
      </c>
      <c r="J4" s="3">
        <v>0</v>
      </c>
      <c r="K4" s="3">
        <v>2</v>
      </c>
      <c r="L4" s="3">
        <v>0</v>
      </c>
      <c r="M4" s="3">
        <v>2</v>
      </c>
    </row>
    <row r="5" spans="1:29" ht="82.5" x14ac:dyDescent="0.3">
      <c r="A5" s="6" t="s">
        <v>12</v>
      </c>
      <c r="B5" s="7" t="s">
        <v>9</v>
      </c>
      <c r="C5" s="6" t="s">
        <v>10</v>
      </c>
      <c r="D5" s="3">
        <v>2</v>
      </c>
      <c r="E5" s="3">
        <v>2</v>
      </c>
      <c r="F5" s="3">
        <v>1</v>
      </c>
      <c r="G5" s="3">
        <v>-0.5</v>
      </c>
      <c r="H5" s="3">
        <v>0</v>
      </c>
      <c r="I5" s="3">
        <v>2</v>
      </c>
      <c r="J5" s="3">
        <v>4</v>
      </c>
      <c r="K5" s="3">
        <v>-1</v>
      </c>
      <c r="L5" s="3">
        <v>0</v>
      </c>
      <c r="M5" s="3">
        <v>2</v>
      </c>
    </row>
    <row r="6" spans="1:29" ht="66" x14ac:dyDescent="0.3">
      <c r="A6" s="7" t="s">
        <v>13</v>
      </c>
      <c r="B6" s="7" t="s">
        <v>14</v>
      </c>
      <c r="C6" s="6" t="s">
        <v>15</v>
      </c>
      <c r="D6" s="3">
        <v>1.5</v>
      </c>
      <c r="E6" s="3">
        <v>1.5</v>
      </c>
      <c r="F6" s="3">
        <v>0</v>
      </c>
      <c r="G6" s="3">
        <v>1.5</v>
      </c>
      <c r="H6" s="3">
        <v>0</v>
      </c>
      <c r="I6" s="3">
        <v>1.5</v>
      </c>
      <c r="J6" s="3">
        <v>0</v>
      </c>
      <c r="K6" s="3">
        <v>1.5</v>
      </c>
      <c r="L6" s="3">
        <v>0</v>
      </c>
      <c r="M6" s="3">
        <v>1.5</v>
      </c>
    </row>
    <row r="7" spans="1:29" ht="82.5" x14ac:dyDescent="0.3">
      <c r="A7" s="6" t="s">
        <v>16</v>
      </c>
      <c r="B7" s="7" t="s">
        <v>9</v>
      </c>
      <c r="C7" s="6" t="s">
        <v>10</v>
      </c>
      <c r="D7" s="3">
        <v>2</v>
      </c>
      <c r="E7" s="3">
        <v>2</v>
      </c>
      <c r="F7" s="3">
        <v>0</v>
      </c>
      <c r="G7" s="3">
        <v>2</v>
      </c>
      <c r="H7" s="3">
        <v>0</v>
      </c>
      <c r="I7" s="3">
        <v>2</v>
      </c>
      <c r="J7" s="3">
        <v>0</v>
      </c>
      <c r="K7" s="3">
        <v>2</v>
      </c>
      <c r="L7" s="3">
        <v>0</v>
      </c>
      <c r="M7" s="3">
        <v>2</v>
      </c>
    </row>
    <row r="8" spans="1:29" ht="82.5" x14ac:dyDescent="0.3">
      <c r="A8" s="7" t="s">
        <v>17</v>
      </c>
      <c r="B8" s="7" t="s">
        <v>9</v>
      </c>
      <c r="C8" s="6" t="s">
        <v>10</v>
      </c>
      <c r="D8" s="3">
        <v>2</v>
      </c>
      <c r="E8" s="3">
        <v>2</v>
      </c>
      <c r="F8" s="3">
        <v>1</v>
      </c>
      <c r="G8" s="3">
        <v>-0.5</v>
      </c>
      <c r="H8" s="3">
        <v>0</v>
      </c>
      <c r="I8" s="3">
        <v>2</v>
      </c>
      <c r="J8" s="3">
        <v>1</v>
      </c>
      <c r="K8" s="3">
        <v>-0.5</v>
      </c>
      <c r="L8" s="3">
        <v>0</v>
      </c>
      <c r="M8" s="3">
        <v>2</v>
      </c>
    </row>
    <row r="9" spans="1:29" ht="115.5" x14ac:dyDescent="0.3">
      <c r="A9" s="7" t="s">
        <v>18</v>
      </c>
      <c r="B9" s="7" t="s">
        <v>6</v>
      </c>
      <c r="C9" s="6" t="s">
        <v>19</v>
      </c>
      <c r="D9" s="3">
        <v>2.5</v>
      </c>
      <c r="E9" s="3">
        <v>2.5</v>
      </c>
      <c r="F9" s="3">
        <v>0</v>
      </c>
      <c r="G9" s="3">
        <v>2.5</v>
      </c>
      <c r="H9" s="3">
        <v>0</v>
      </c>
      <c r="I9" s="3">
        <v>2.5</v>
      </c>
      <c r="J9" s="3">
        <v>0</v>
      </c>
      <c r="K9" s="3">
        <v>0</v>
      </c>
      <c r="L9" s="3">
        <v>0</v>
      </c>
      <c r="M9" s="3">
        <v>0</v>
      </c>
    </row>
    <row r="10" spans="1:29" x14ac:dyDescent="0.3">
      <c r="A10" s="7"/>
      <c r="B10" s="3" t="s">
        <v>34</v>
      </c>
      <c r="C10" s="3">
        <v>85</v>
      </c>
      <c r="D10" s="5">
        <v>16.5</v>
      </c>
      <c r="E10" s="3">
        <v>16.5</v>
      </c>
      <c r="F10" s="3">
        <v>4</v>
      </c>
      <c r="G10" s="3">
        <v>8.5</v>
      </c>
      <c r="H10" s="3">
        <v>0</v>
      </c>
      <c r="I10" s="3">
        <v>14</v>
      </c>
      <c r="J10" s="3">
        <v>4</v>
      </c>
      <c r="K10" s="3">
        <v>5.5</v>
      </c>
      <c r="L10" s="3">
        <v>0</v>
      </c>
      <c r="M10" s="3">
        <v>14</v>
      </c>
    </row>
    <row r="11" spans="1:29" x14ac:dyDescent="0.3">
      <c r="F11" s="8">
        <f>(F10/$C$10)</f>
        <v>4.7058823529411764E-2</v>
      </c>
      <c r="G11" s="8">
        <f>(G10/$D$10)</f>
        <v>0.51515151515151514</v>
      </c>
      <c r="H11" s="8">
        <f>(H10/$C$10)</f>
        <v>0</v>
      </c>
      <c r="I11" s="8">
        <f>(I10/$D$10)</f>
        <v>0.84848484848484851</v>
      </c>
      <c r="J11" s="8">
        <f>(J10/$C$10)</f>
        <v>4.7058823529411764E-2</v>
      </c>
      <c r="K11" s="8">
        <f>(K10/$D$10)</f>
        <v>0.33333333333333331</v>
      </c>
      <c r="L11" s="8">
        <f>(L10/$C$10)</f>
        <v>0</v>
      </c>
      <c r="M11" s="8">
        <f>(M10/$D$10)</f>
        <v>0.84848484848484851</v>
      </c>
    </row>
    <row r="13" spans="1:29" x14ac:dyDescent="0.3">
      <c r="C13" s="9" t="s">
        <v>0</v>
      </c>
      <c r="D13" s="9"/>
      <c r="E13" s="10" t="s">
        <v>35</v>
      </c>
      <c r="F13" s="10" t="s">
        <v>36</v>
      </c>
      <c r="G13" s="10" t="s">
        <v>37</v>
      </c>
      <c r="H13" s="10" t="s">
        <v>38</v>
      </c>
      <c r="I13" s="10" t="s">
        <v>39</v>
      </c>
      <c r="J13" s="10" t="s">
        <v>40</v>
      </c>
      <c r="K13" s="10" t="s">
        <v>41</v>
      </c>
      <c r="L13" s="10" t="s">
        <v>42</v>
      </c>
      <c r="M13" s="10" t="s">
        <v>43</v>
      </c>
      <c r="N13" s="10" t="s">
        <v>44</v>
      </c>
      <c r="O13" s="10" t="s">
        <v>45</v>
      </c>
      <c r="P13" s="10" t="s">
        <v>46</v>
      </c>
      <c r="Q13" s="2" t="s">
        <v>47</v>
      </c>
    </row>
    <row r="14" spans="1:29" x14ac:dyDescent="0.3">
      <c r="C14" s="11" t="s">
        <v>48</v>
      </c>
      <c r="D14" s="11"/>
      <c r="E14" s="8">
        <f>(F10/$C$10)</f>
        <v>4.7058823529411764E-2</v>
      </c>
      <c r="F14" s="8">
        <f>(H10/$C$10)</f>
        <v>0</v>
      </c>
      <c r="G14" s="8">
        <f>(J10/$C$10)</f>
        <v>4.7058823529411764E-2</v>
      </c>
      <c r="H14" s="8">
        <f>(L10/$C$10)</f>
        <v>0</v>
      </c>
      <c r="I14" s="8"/>
      <c r="J14" s="8"/>
      <c r="K14" s="5"/>
      <c r="L14" s="5"/>
      <c r="M14" s="5"/>
      <c r="N14" s="5"/>
      <c r="O14" s="5"/>
      <c r="P14" s="5"/>
      <c r="Q14" s="12">
        <f>AVERAGE(E14:P14)</f>
        <v>2.3529411764705882E-2</v>
      </c>
    </row>
    <row r="15" spans="1:29" x14ac:dyDescent="0.3">
      <c r="C15" s="11" t="s">
        <v>49</v>
      </c>
      <c r="D15" s="11"/>
      <c r="E15" s="8">
        <f>(G10/$D$10)</f>
        <v>0.51515151515151514</v>
      </c>
      <c r="F15" s="8">
        <f>(I10/$D$10)</f>
        <v>0.84848484848484851</v>
      </c>
      <c r="G15" s="8">
        <f>(K10/$D$10)</f>
        <v>0.33333333333333331</v>
      </c>
      <c r="H15" s="8">
        <f>(M10/$D$10)</f>
        <v>0.84848484848484851</v>
      </c>
      <c r="I15" s="5"/>
      <c r="J15" s="5"/>
      <c r="K15" s="5"/>
      <c r="L15" s="5"/>
      <c r="M15" s="5"/>
      <c r="N15" s="5"/>
      <c r="O15" s="5"/>
      <c r="P15" s="5"/>
      <c r="Q15" s="12">
        <f>AVERAGE(E15:P15)</f>
        <v>0.63636363636363635</v>
      </c>
    </row>
  </sheetData>
  <mergeCells count="3">
    <mergeCell ref="C13:D13"/>
    <mergeCell ref="C14:D14"/>
    <mergeCell ref="C15:D15"/>
  </mergeCells>
  <phoneticPr fontId="18" type="noConversion"/>
  <pageMargins left="0.7" right="0.7" top="0.75" bottom="0.75" header="0.3" footer="0.3"/>
  <headerFooter>
    <oddHeader>&amp;L&amp;"Arial"&amp;8&amp;K000000 INTERNAL&amp;1#_x000D_</oddHeader>
  </headerFooter>
  <drawing r:id="rId1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Yoon, Jaeyoung (KO/GMD)</dc:creator>
  <cp:lastModifiedBy>Yoon, Jaeyoung (KO/GMD)</cp:lastModifiedBy>
  <dcterms:created xsi:type="dcterms:W3CDTF">2026-05-08T02:42:07Z</dcterms:created>
  <dcterms:modified xsi:type="dcterms:W3CDTF">2026-05-08T04:58:47Z</dcterms:modified>
</cp:coreProperties>
</file>