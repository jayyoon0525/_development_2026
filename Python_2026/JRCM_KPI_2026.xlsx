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Development_2026\Python_2026\"/>
    </mc:Choice>
  </mc:AlternateContent>
  <xr:revisionPtr revIDLastSave="0" documentId="13_ncr:1_{5209EA93-B9D3-4E79-A65D-B414D61DCBB5}" xr6:coauthVersionLast="47" xr6:coauthVersionMax="47" xr10:uidLastSave="{00000000-0000-0000-0000-000000000000}"/>
  <bookViews>
    <workbookView xWindow="-120" yWindow="-120" windowWidth="29040" windowHeight="15720" xr2:uid="{11C83BD3-EFE0-40C3-BAD3-524289020AF7}"/>
  </bookViews>
  <sheets>
    <sheet name="export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" l="1"/>
  <c r="L10" i="1"/>
  <c r="L11" i="1" s="1"/>
  <c r="K10" i="1"/>
  <c r="J10" i="1"/>
  <c r="J11" i="1" s="1"/>
  <c r="I10" i="1"/>
  <c r="H10" i="1"/>
  <c r="H11" i="1" s="1"/>
  <c r="G10" i="1"/>
  <c r="F10" i="1"/>
  <c r="F11" i="1" s="1"/>
  <c r="F14" i="1" l="1"/>
  <c r="H14" i="1"/>
  <c r="M11" i="1"/>
  <c r="H15" i="1" s="1"/>
  <c r="K11" i="1"/>
  <c r="G15" i="1" s="1"/>
  <c r="I11" i="1"/>
  <c r="F15" i="1" s="1"/>
  <c r="G14" i="1"/>
  <c r="G11" i="1"/>
  <c r="E15" i="1" s="1"/>
  <c r="E14" i="1"/>
  <c r="Q14" i="1"/>
  <c r="Q15" i="1" l="1"/>
</calcChain>
</file>

<file path=xl/sharedStrings.xml><?xml version="1.0" encoding="utf-8"?>
<sst xmlns="http://schemas.openxmlformats.org/spreadsheetml/2006/main" count="70" uniqueCount="51">
  <si>
    <t>Item</t>
  </si>
  <si>
    <t>Weight</t>
  </si>
  <si>
    <t>Target</t>
  </si>
  <si>
    <t>Penalty(Minus)</t>
  </si>
  <si>
    <t>Incentive(Plus)</t>
  </si>
  <si>
    <t>Meeting target date of tasks in Jira tickets</t>
  </si>
  <si>
    <t>Very High</t>
  </si>
  <si>
    <t>Job Status update
repoting of general blockers/ job stoppers</t>
  </si>
  <si>
    <t>High</t>
  </si>
  <si>
    <t>Resource issue for tasks mentioned in RFQ</t>
  </si>
  <si>
    <t>Follow up guidelines for tasks &amp; release note for testing
- Maintenance activity not following general process
 - Following test car usage PI</t>
  </si>
  <si>
    <t>All the information and knowledge what we provided and working log, specification should be kept and trained internally</t>
  </si>
  <si>
    <t>Mid</t>
  </si>
  <si>
    <t>KPM Ticket rules
 - KPM Ticket creation
 - KPM Check-back
 - KPM Verification</t>
  </si>
  <si>
    <t>KPM ticket quality</t>
  </si>
  <si>
    <t>Free testing</t>
  </si>
  <si>
    <t>May (Count)</t>
    <phoneticPr fontId="18" type="noConversion"/>
  </si>
  <si>
    <t>KPI</t>
  </si>
  <si>
    <t>Jun (Count)</t>
    <phoneticPr fontId="18" type="noConversion"/>
  </si>
  <si>
    <t>KPI</t>
    <phoneticPr fontId="18" type="noConversion"/>
  </si>
  <si>
    <t>Jul(Count)</t>
    <phoneticPr fontId="18" type="noConversion"/>
  </si>
  <si>
    <t>Aug(Count)</t>
    <phoneticPr fontId="18" type="noConversion"/>
  </si>
  <si>
    <t>Sep(Count)</t>
    <phoneticPr fontId="18" type="noConversion"/>
  </si>
  <si>
    <t>Oct(Count)</t>
    <phoneticPr fontId="18" type="noConversion"/>
  </si>
  <si>
    <t>Nov(Count)</t>
    <phoneticPr fontId="18" type="noConversion"/>
  </si>
  <si>
    <t>Dec(Count)</t>
    <phoneticPr fontId="18" type="noConversion"/>
  </si>
  <si>
    <t>Jan (Count)</t>
  </si>
  <si>
    <t>Feb (Count)</t>
  </si>
  <si>
    <t>Mar(Count)</t>
  </si>
  <si>
    <t>Apr(Count)</t>
  </si>
  <si>
    <t>Max</t>
    <phoneticPr fontId="18" type="noConversion"/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</si>
  <si>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</si>
  <si>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</si>
  <si>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</si>
  <si>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</si>
  <si>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</si>
  <si>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</si>
  <si>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</si>
  <si>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</si>
  <si>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</si>
  <si>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</si>
  <si>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</si>
  <si>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</si>
  <si>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  <phoneticPr fontId="18" type="noConversion"/>
  </si>
  <si>
    <t>Case (Max 85 cases) - Target 0%</t>
    <phoneticPr fontId="18" type="noConversion"/>
  </si>
  <si>
    <t>Value (Max 16.5 point) - Target 100%</t>
    <phoneticPr fontId="18" type="noConversion"/>
  </si>
  <si>
    <t>All achieved (100%): 0
1-2 cases : 0.5
3-5 cases: Story point : 1
6-9 cases: Story point : 1.5
10-12 cases: Story point : 2
&lt;13 cases: Story point : 2.5</t>
  </si>
  <si>
    <t>All achieved (100%): 0
1-2 cases : 0.5
3-5 cases: Story point :1
6-9 cases: Story point : 1.5
&lt;10 cases: Story point : 2</t>
  </si>
  <si>
    <t>All achieved (100%): 0
1-2 cases : 0.5
3-5 cases: Story point 1
&lt;6 cases: Story point 1.5</t>
  </si>
  <si>
    <t>All achieved (100%): 0
1-2 cases : 0.5
3-5 cases: Story point : 1
6-9 cases: Story point : 1.5
&lt;10 cases: Story point : 2</t>
  </si>
  <si>
    <t>All achieved (100%): 0
1-2 cases : 0.5
3-5 cases: Story point : 1
6-9 cases: Story point : 1.5
10-12 cases: Story point : 2
&lt;13 cases: Story point : 2.5
or 0 cases: 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</si>
</sst>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>
      <alignment vertical="center"/>
    </xf>
    <xf numFmtId="9" fontId="0" fillId="0" borderId="10" xfId="1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 applyAlignment="1">
      <alignment horizontal="left"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KPI Measurement - JRCM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export!$C$14</c:f>
              <c:strCache>
                <c:ptCount val="1"/>
                <c:pt idx="0">
                  <c:v>Case (Max 85 cases) - Target 0%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export!$D$13:$P$13</c:f>
              <c:strCache>
                <c:ptCount val="13"/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export!$D$14:$P$14</c:f>
              <c:numCache>
                <c:formatCode>0%</c:formatCode>
                <c:ptCount val="13"/>
                <c:pt idx="1">
                  <c:v>4.7058823529411764E-2</c:v>
                </c:pt>
                <c:pt idx="2">
                  <c:v>0</c:v>
                </c:pt>
                <c:pt idx="3">
                  <c:v>7.0588235294117646E-2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04-45BD-BD71-FCAD506007C9}"/>
            </c:ext>
          </c:extLst>
        </c:ser>
        <c:ser>
          <c:idx val="1"/>
          <c:order val="1"/>
          <c:tx>
            <c:strRef>
              <c:f>export!$C$15</c:f>
              <c:strCache>
                <c:ptCount val="1"/>
                <c:pt idx="0">
                  <c:v>Value (Max 16.5 point) - Target 100%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export!$D$13:$P$13</c:f>
              <c:strCache>
                <c:ptCount val="13"/>
                <c:pt idx="1">
                  <c:v>Jan</c:v>
                </c:pt>
                <c:pt idx="2">
                  <c:v>Feb</c:v>
                </c:pt>
                <c:pt idx="3">
                  <c:v>Mar</c:v>
                </c:pt>
                <c:pt idx="4">
                  <c:v>Apr</c:v>
                </c:pt>
                <c:pt idx="5">
                  <c:v>May</c:v>
                </c:pt>
                <c:pt idx="6">
                  <c:v>Jun</c:v>
                </c:pt>
                <c:pt idx="7">
                  <c:v>Jul</c:v>
                </c:pt>
                <c:pt idx="8">
                  <c:v>Aug</c:v>
                </c:pt>
                <c:pt idx="9">
                  <c:v>Sep</c:v>
                </c:pt>
                <c:pt idx="10">
                  <c:v>Oct</c:v>
                </c:pt>
                <c:pt idx="11">
                  <c:v>Nov</c:v>
                </c:pt>
                <c:pt idx="12">
                  <c:v>Dec</c:v>
                </c:pt>
              </c:strCache>
            </c:strRef>
          </c:cat>
          <c:val>
            <c:numRef>
              <c:f>export!$D$15:$P$15</c:f>
              <c:numCache>
                <c:formatCode>0%</c:formatCode>
                <c:ptCount val="13"/>
                <c:pt idx="1">
                  <c:v>0.93939393939393945</c:v>
                </c:pt>
                <c:pt idx="2">
                  <c:v>1</c:v>
                </c:pt>
                <c:pt idx="3">
                  <c:v>0.87878787878787878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4-45BD-BD71-FCAD50600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6902736"/>
        <c:axId val="1676906576"/>
      </c:barChart>
      <c:catAx>
        <c:axId val="167690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6906576"/>
        <c:crosses val="autoZero"/>
        <c:auto val="1"/>
        <c:lblAlgn val="ctr"/>
        <c:lblOffset val="100"/>
        <c:noMultiLvlLbl val="0"/>
      </c:catAx>
      <c:valAx>
        <c:axId val="1676906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76902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KPI Count monthly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export!$F$1</c:f>
              <c:strCache>
                <c:ptCount val="1"/>
                <c:pt idx="0">
                  <c:v>Jan (Count)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Meeting target date of tasks in Jira 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export!$F$2:$F$9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6-4927-BEE1-D72297392324}"/>
            </c:ext>
          </c:extLst>
        </c:ser>
        <c:ser>
          <c:idx val="1"/>
          <c:order val="1"/>
          <c:tx>
            <c:strRef>
              <c:f>export!$H$1</c:f>
              <c:strCache>
                <c:ptCount val="1"/>
                <c:pt idx="0">
                  <c:v>Feb (Count)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export!$A$2:$A$9</c:f>
              <c:strCache>
                <c:ptCount val="8"/>
                <c:pt idx="0">
                  <c:v>Meeting target date of tasks in Jira 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export!$H$2:$H$9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6-4927-BEE1-D72297392324}"/>
            </c:ext>
          </c:extLst>
        </c:ser>
        <c:ser>
          <c:idx val="2"/>
          <c:order val="2"/>
          <c:tx>
            <c:strRef>
              <c:f>export!$J$1</c:f>
              <c:strCache>
                <c:ptCount val="1"/>
                <c:pt idx="0">
                  <c:v>Mar(Count)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Meeting target date of tasks in Jira 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export!$J$2:$J$9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D46-4927-BEE1-D72297392324}"/>
            </c:ext>
          </c:extLst>
        </c:ser>
        <c:ser>
          <c:idx val="3"/>
          <c:order val="3"/>
          <c:tx>
            <c:strRef>
              <c:f>export!$L$1</c:f>
              <c:strCache>
                <c:ptCount val="1"/>
                <c:pt idx="0">
                  <c:v>Apr(Count)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export!$A$2:$A$9</c:f>
              <c:strCache>
                <c:ptCount val="8"/>
                <c:pt idx="0">
                  <c:v>Meeting target date of tasks in Jira tickets</c:v>
                </c:pt>
                <c:pt idx="1">
                  <c:v>Job Status update
repoting of general blockers/ job stoppers</c:v>
                </c:pt>
                <c:pt idx="2">
                  <c:v>Resource issue for tasks mentioned in RFQ</c:v>
                </c:pt>
                <c:pt idx="3">
                  <c:v>Follow up guidelines for tasks &amp; release note for testing
- Maintenance activity not following general process
 - Following test car usage PI</c:v>
                </c:pt>
                <c:pt idx="4">
                  <c:v>All the information and knowledge what we provided and working log, specification should be kept and trained internally</c:v>
                </c:pt>
                <c:pt idx="5">
                  <c:v>KPM Ticket rules
 - KPM Ticket creation
 - KPM Check-back
 - KPM Verification</c:v>
                </c:pt>
                <c:pt idx="6">
                  <c:v>KPM ticket quality</c:v>
                </c:pt>
                <c:pt idx="7">
                  <c:v>Free testing</c:v>
                </c:pt>
              </c:strCache>
            </c:strRef>
          </c:cat>
          <c:val>
            <c:numRef>
              <c:f>export!$L$2:$L$9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D46-4927-BEE1-D72297392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5181056"/>
        <c:axId val="105177696"/>
        <c:axId val="0"/>
      </c:bar3DChart>
      <c:catAx>
        <c:axId val="105181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5177696"/>
        <c:crosses val="autoZero"/>
        <c:auto val="1"/>
        <c:lblAlgn val="ctr"/>
        <c:lblOffset val="100"/>
        <c:noMultiLvlLbl val="0"/>
      </c:catAx>
      <c:valAx>
        <c:axId val="10517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0518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80961</xdr:colOff>
      <xdr:row>15</xdr:row>
      <xdr:rowOff>138112</xdr:rowOff>
    </xdr:from>
    <xdr:to>
      <xdr:col>15</xdr:col>
      <xdr:colOff>561974</xdr:colOff>
      <xdr:row>28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FBE7EB-5ACE-F88F-5710-C12D2D6E6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136071</xdr:colOff>
      <xdr:row>1</xdr:row>
      <xdr:rowOff>326571</xdr:rowOff>
    </xdr:from>
    <xdr:to>
      <xdr:col>30</xdr:col>
      <xdr:colOff>54429</xdr:colOff>
      <xdr:row>6</xdr:row>
      <xdr:rowOff>68036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914C14-77B3-C607-3346-3DDE91E406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A28DD-9CDF-4138-BEA4-3EFF50C226FE}">
  <dimension ref="A1:AC15"/>
  <sheetViews>
    <sheetView tabSelected="1" topLeftCell="A8" zoomScale="85" zoomScaleNormal="85" workbookViewId="0">
      <selection activeCell="U10" sqref="U10"/>
    </sheetView>
  </sheetViews>
  <sheetFormatPr defaultRowHeight="16.5" x14ac:dyDescent="0.3"/>
  <cols>
    <col min="1" max="1" width="29.5" customWidth="1"/>
    <col min="2" max="2" width="13" customWidth="1"/>
    <col min="3" max="3" width="36.5" customWidth="1"/>
    <col min="4" max="13" width="9" style="2"/>
  </cols>
  <sheetData>
    <row r="1" spans="1:29" s="1" customFormat="1" ht="33" x14ac:dyDescent="0.3">
      <c r="A1" s="6" t="s">
        <v>0</v>
      </c>
      <c r="B1" s="6" t="s">
        <v>1</v>
      </c>
      <c r="C1" s="6" t="s">
        <v>2</v>
      </c>
      <c r="D1" s="5" t="s">
        <v>3</v>
      </c>
      <c r="E1" s="5" t="s">
        <v>4</v>
      </c>
      <c r="F1" s="5" t="s">
        <v>26</v>
      </c>
      <c r="G1" s="5" t="s">
        <v>17</v>
      </c>
      <c r="H1" s="5" t="s">
        <v>27</v>
      </c>
      <c r="I1" s="5" t="s">
        <v>17</v>
      </c>
      <c r="J1" s="5" t="s">
        <v>28</v>
      </c>
      <c r="K1" s="5" t="s">
        <v>17</v>
      </c>
      <c r="L1" s="5" t="s">
        <v>29</v>
      </c>
      <c r="M1" s="5" t="s">
        <v>17</v>
      </c>
      <c r="N1" s="4" t="s">
        <v>16</v>
      </c>
      <c r="O1" s="4" t="s">
        <v>17</v>
      </c>
      <c r="P1" s="4" t="s">
        <v>18</v>
      </c>
      <c r="Q1" s="4" t="s">
        <v>19</v>
      </c>
      <c r="R1" s="4" t="s">
        <v>20</v>
      </c>
      <c r="S1" s="4" t="s">
        <v>17</v>
      </c>
      <c r="T1" s="4" t="s">
        <v>21</v>
      </c>
      <c r="U1" s="4" t="s">
        <v>17</v>
      </c>
      <c r="V1" s="4" t="s">
        <v>22</v>
      </c>
      <c r="W1" s="4" t="s">
        <v>17</v>
      </c>
      <c r="X1" s="4" t="s">
        <v>23</v>
      </c>
      <c r="Y1" s="4" t="s">
        <v>17</v>
      </c>
      <c r="Z1" s="4" t="s">
        <v>24</v>
      </c>
      <c r="AA1" s="4" t="s">
        <v>17</v>
      </c>
      <c r="AB1" s="4" t="s">
        <v>25</v>
      </c>
      <c r="AC1" s="4" t="s">
        <v>17</v>
      </c>
    </row>
    <row r="2" spans="1:29" ht="99" x14ac:dyDescent="0.3">
      <c r="A2" s="7" t="s">
        <v>5</v>
      </c>
      <c r="B2" s="7" t="s">
        <v>6</v>
      </c>
      <c r="C2" s="13" t="s">
        <v>46</v>
      </c>
      <c r="D2" s="3">
        <v>2.5</v>
      </c>
      <c r="E2" s="3">
        <v>2.5</v>
      </c>
      <c r="F2" s="3">
        <v>2</v>
      </c>
      <c r="G2" s="3">
        <v>0.5</v>
      </c>
      <c r="H2" s="3">
        <v>0</v>
      </c>
      <c r="I2" s="3">
        <v>0</v>
      </c>
      <c r="J2" s="3">
        <v>1</v>
      </c>
      <c r="K2" s="3">
        <v>0.5</v>
      </c>
      <c r="L2" s="3">
        <v>0</v>
      </c>
      <c r="M2" s="3">
        <v>0</v>
      </c>
    </row>
    <row r="3" spans="1:29" ht="82.5" x14ac:dyDescent="0.3">
      <c r="A3" s="6" t="s">
        <v>7</v>
      </c>
      <c r="B3" s="7" t="s">
        <v>8</v>
      </c>
      <c r="C3" s="13" t="s">
        <v>47</v>
      </c>
      <c r="D3" s="3">
        <v>2</v>
      </c>
      <c r="E3" s="3">
        <v>2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</row>
    <row r="4" spans="1:29" ht="82.5" x14ac:dyDescent="0.3">
      <c r="A4" s="7" t="s">
        <v>9</v>
      </c>
      <c r="B4" s="7" t="s">
        <v>8</v>
      </c>
      <c r="C4" s="13" t="s">
        <v>47</v>
      </c>
      <c r="D4" s="3">
        <v>2</v>
      </c>
      <c r="E4" s="3">
        <v>2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</row>
    <row r="5" spans="1:29" ht="82.5" x14ac:dyDescent="0.3">
      <c r="A5" s="6" t="s">
        <v>10</v>
      </c>
      <c r="B5" s="7" t="s">
        <v>8</v>
      </c>
      <c r="C5" s="13" t="s">
        <v>47</v>
      </c>
      <c r="D5" s="3">
        <v>2</v>
      </c>
      <c r="E5" s="3">
        <v>2</v>
      </c>
      <c r="F5" s="3">
        <v>1</v>
      </c>
      <c r="G5" s="3">
        <v>0.5</v>
      </c>
      <c r="H5" s="3">
        <v>0</v>
      </c>
      <c r="I5" s="3">
        <v>0</v>
      </c>
      <c r="J5" s="3">
        <v>4</v>
      </c>
      <c r="K5" s="3">
        <v>1</v>
      </c>
      <c r="L5" s="3">
        <v>0</v>
      </c>
      <c r="M5" s="3">
        <v>0</v>
      </c>
    </row>
    <row r="6" spans="1:29" ht="66" x14ac:dyDescent="0.3">
      <c r="A6" s="7" t="s">
        <v>11</v>
      </c>
      <c r="B6" s="7" t="s">
        <v>12</v>
      </c>
      <c r="C6" s="13" t="s">
        <v>48</v>
      </c>
      <c r="D6" s="3">
        <v>1.5</v>
      </c>
      <c r="E6" s="3">
        <v>1.5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</row>
    <row r="7" spans="1:29" ht="82.5" x14ac:dyDescent="0.3">
      <c r="A7" s="6" t="s">
        <v>13</v>
      </c>
      <c r="B7" s="7" t="s">
        <v>8</v>
      </c>
      <c r="C7" s="13" t="s">
        <v>49</v>
      </c>
      <c r="D7" s="3">
        <v>2</v>
      </c>
      <c r="E7" s="3">
        <v>2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</row>
    <row r="8" spans="1:29" ht="82.5" x14ac:dyDescent="0.3">
      <c r="A8" s="7" t="s">
        <v>14</v>
      </c>
      <c r="B8" s="7" t="s">
        <v>8</v>
      </c>
      <c r="C8" s="13" t="s">
        <v>49</v>
      </c>
      <c r="D8" s="3">
        <v>2</v>
      </c>
      <c r="E8" s="3">
        <v>2</v>
      </c>
      <c r="F8" s="3">
        <v>1</v>
      </c>
      <c r="G8" s="3">
        <v>0</v>
      </c>
      <c r="H8" s="3">
        <v>0</v>
      </c>
      <c r="I8" s="3">
        <v>0</v>
      </c>
      <c r="J8" s="3">
        <v>1</v>
      </c>
      <c r="K8" s="3">
        <v>0.5</v>
      </c>
      <c r="L8" s="3">
        <v>0</v>
      </c>
      <c r="M8" s="3">
        <v>0</v>
      </c>
    </row>
    <row r="9" spans="1:29" ht="115.5" x14ac:dyDescent="0.3">
      <c r="A9" s="7" t="s">
        <v>15</v>
      </c>
      <c r="B9" s="7" t="s">
        <v>6</v>
      </c>
      <c r="C9" s="13" t="s">
        <v>50</v>
      </c>
      <c r="D9" s="3">
        <v>2.5</v>
      </c>
      <c r="E9" s="3">
        <v>2.5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</row>
    <row r="10" spans="1:29" x14ac:dyDescent="0.3">
      <c r="A10" s="7"/>
      <c r="B10" s="3" t="s">
        <v>30</v>
      </c>
      <c r="C10" s="3">
        <v>85</v>
      </c>
      <c r="D10" s="5">
        <v>16.5</v>
      </c>
      <c r="E10" s="3">
        <v>16.5</v>
      </c>
      <c r="F10" s="3">
        <f>SUM(F2:F9)</f>
        <v>4</v>
      </c>
      <c r="G10" s="3">
        <f>SUM(G2:G9)</f>
        <v>1</v>
      </c>
      <c r="H10" s="3">
        <f>SUM(H2:H9)</f>
        <v>0</v>
      </c>
      <c r="I10" s="3">
        <f>SUM(I2:I9)</f>
        <v>0</v>
      </c>
      <c r="J10" s="3">
        <f>SUM(J2:J9)</f>
        <v>6</v>
      </c>
      <c r="K10" s="3">
        <f>SUM(K2:K9)</f>
        <v>2</v>
      </c>
      <c r="L10" s="3">
        <f>SUM(L2:L9)</f>
        <v>0</v>
      </c>
      <c r="M10" s="3">
        <f>SUM(M2:M9)</f>
        <v>0</v>
      </c>
    </row>
    <row r="11" spans="1:29" x14ac:dyDescent="0.3">
      <c r="F11" s="8">
        <f>(F10/$C$10)</f>
        <v>4.7058823529411764E-2</v>
      </c>
      <c r="G11" s="8">
        <f>1-(G10/$D$10)</f>
        <v>0.93939393939393945</v>
      </c>
      <c r="H11" s="8">
        <f>(H10/$C$10)</f>
        <v>0</v>
      </c>
      <c r="I11" s="8">
        <f>1-(I10/$D$10)</f>
        <v>1</v>
      </c>
      <c r="J11" s="8">
        <f>(J10/$C$10)</f>
        <v>7.0588235294117646E-2</v>
      </c>
      <c r="K11" s="8">
        <f>1-(K10/$D$10)</f>
        <v>0.87878787878787878</v>
      </c>
      <c r="L11" s="8">
        <f>(L10/$C$10)</f>
        <v>0</v>
      </c>
      <c r="M11" s="8">
        <f>1-(M10/$D$10)</f>
        <v>1</v>
      </c>
    </row>
    <row r="13" spans="1:29" x14ac:dyDescent="0.3">
      <c r="C13" s="11" t="s">
        <v>0</v>
      </c>
      <c r="D13" s="11"/>
      <c r="E13" s="9" t="s">
        <v>31</v>
      </c>
      <c r="F13" s="9" t="s">
        <v>32</v>
      </c>
      <c r="G13" s="9" t="s">
        <v>33</v>
      </c>
      <c r="H13" s="9" t="s">
        <v>34</v>
      </c>
      <c r="I13" s="9" t="s">
        <v>35</v>
      </c>
      <c r="J13" s="9" t="s">
        <v>36</v>
      </c>
      <c r="K13" s="9" t="s">
        <v>37</v>
      </c>
      <c r="L13" s="9" t="s">
        <v>38</v>
      </c>
      <c r="M13" s="9" t="s">
        <v>39</v>
      </c>
      <c r="N13" s="9" t="s">
        <v>40</v>
      </c>
      <c r="O13" s="9" t="s">
        <v>41</v>
      </c>
      <c r="P13" s="9" t="s">
        <v>42</v>
      </c>
      <c r="Q13" s="2" t="s">
        <v>43</v>
      </c>
    </row>
    <row r="14" spans="1:29" x14ac:dyDescent="0.3">
      <c r="C14" s="12" t="s">
        <v>44</v>
      </c>
      <c r="D14" s="12"/>
      <c r="E14" s="8">
        <f>(F10/$C$10)</f>
        <v>4.7058823529411764E-2</v>
      </c>
      <c r="F14" s="8">
        <f>(H10/$C$10)</f>
        <v>0</v>
      </c>
      <c r="G14" s="8">
        <f>(J10/$C$10)</f>
        <v>7.0588235294117646E-2</v>
      </c>
      <c r="H14" s="8">
        <f>(L10/$C$10)</f>
        <v>0</v>
      </c>
      <c r="I14" s="8"/>
      <c r="J14" s="8"/>
      <c r="K14" s="5"/>
      <c r="L14" s="5"/>
      <c r="M14" s="5"/>
      <c r="N14" s="5"/>
      <c r="O14" s="5"/>
      <c r="P14" s="5"/>
      <c r="Q14" s="10">
        <f>AVERAGE(E14:P14)</f>
        <v>2.9411764705882353E-2</v>
      </c>
    </row>
    <row r="15" spans="1:29" x14ac:dyDescent="0.3">
      <c r="C15" s="12" t="s">
        <v>45</v>
      </c>
      <c r="D15" s="12"/>
      <c r="E15" s="8">
        <f>G11</f>
        <v>0.93939393939393945</v>
      </c>
      <c r="F15" s="8">
        <f>I11</f>
        <v>1</v>
      </c>
      <c r="G15" s="8">
        <f>K11</f>
        <v>0.87878787878787878</v>
      </c>
      <c r="H15" s="8">
        <f>M11</f>
        <v>1</v>
      </c>
      <c r="I15" s="5"/>
      <c r="J15" s="5"/>
      <c r="K15" s="5"/>
      <c r="L15" s="5"/>
      <c r="M15" s="5"/>
      <c r="N15" s="5"/>
      <c r="O15" s="5"/>
      <c r="P15" s="5"/>
      <c r="Q15" s="10">
        <f>AVERAGE(E15:P15)</f>
        <v>0.95454545454545459</v>
      </c>
    </row>
  </sheetData>
  <mergeCells count="3">
    <mergeCell ref="C13:D13"/>
    <mergeCell ref="C14:D14"/>
    <mergeCell ref="C15:D15"/>
  </mergeCells>
  <phoneticPr fontId="18" type="noConversion"/>
  <pageMargins left="0.7" right="0.7" top="0.75" bottom="0.75" header="0.3" footer="0.3"/>
  <pageSetup paperSize="9" orientation="portrait" horizontalDpi="300" verticalDpi="0" r:id="rId1"/>
  <headerFooter>
    <oddHeader>&amp;L&amp;"Arial"&amp;8&amp;K000000 INTERNAL&amp;1#_x000D_</oddHeader>
  </headerFooter>
  <drawing r:id="rId2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Yoon, Jaeyoung (KO/GMD)</dc:creator>
  <cp:lastModifiedBy>Yoon, Jaeyoung (KO/GMD)</cp:lastModifiedBy>
  <dcterms:created xsi:type="dcterms:W3CDTF">2026-05-08T02:42:07Z</dcterms:created>
  <dcterms:modified xsi:type="dcterms:W3CDTF">2026-05-11T01:55:35Z</dcterms:modified>
</cp:coreProperties>
</file>