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Development_2026\Python_2026\"/>
    </mc:Choice>
  </mc:AlternateContent>
  <xr:revisionPtr revIDLastSave="0" documentId="13_ncr:1_{38FC4A28-244A-43AE-841C-78FA7C12F4A0}" xr6:coauthVersionLast="47" xr6:coauthVersionMax="47" xr10:uidLastSave="{00000000-0000-0000-0000-000000000000}"/>
  <bookViews>
    <workbookView xWindow="2145" yWindow="600" windowWidth="25725" windowHeight="14235" xr2:uid="{53B19080-9F04-48C2-B8B2-0D660C2AD9E9}"/>
  </bookViews>
  <sheets>
    <sheet name="export" sheetId="1" r:id="rId1"/>
  </sheet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1" l="1"/>
  <c r="Q14" i="1"/>
  <c r="H15" i="1"/>
  <c r="G15" i="1"/>
  <c r="F15" i="1"/>
  <c r="E15" i="1"/>
  <c r="H14" i="1"/>
  <c r="G14" i="1"/>
  <c r="F14" i="1"/>
  <c r="E14" i="1"/>
  <c r="K11" i="1"/>
  <c r="I11" i="1"/>
  <c r="G11" i="1"/>
  <c r="E11" i="1"/>
  <c r="L11" i="1"/>
  <c r="J11" i="1"/>
  <c r="H11" i="1"/>
  <c r="F11" i="1"/>
</calcChain>
</file>

<file path=xl/sharedStrings.xml><?xml version="1.0" encoding="utf-8"?>
<sst xmlns="http://schemas.openxmlformats.org/spreadsheetml/2006/main" count="69" uniqueCount="50">
  <si>
    <t>Item</t>
  </si>
  <si>
    <t>Weight</t>
  </si>
  <si>
    <t>Target</t>
  </si>
  <si>
    <t>Mar count</t>
  </si>
  <si>
    <t>Jan (Count)</t>
  </si>
  <si>
    <t>KPI</t>
  </si>
  <si>
    <t>Feb (Count)</t>
  </si>
  <si>
    <t>Mar(Count)</t>
  </si>
  <si>
    <t>Apr(Count)</t>
  </si>
  <si>
    <t>Very High</t>
  </si>
  <si>
    <t>All achieved (100%): 0
1-2 cases : 0.5
3-5 cases: Story point : 1
6-9 cases: Story point : 1.5
10-12 cases: Story point : 2
&lt;13 cases: Story point : 2.5</t>
  </si>
  <si>
    <t>Job Status update
repoting of general blockers/ job stoppers</t>
  </si>
  <si>
    <t>High</t>
  </si>
  <si>
    <t>All achieved (100%): 0
1-2 cases : 0.5
3-5 cases: Story point :1
6-9 cases: Story point : 1.5
&lt;10 cases: Story point : 2</t>
  </si>
  <si>
    <t>Resource issue for tasks mentioned in RFQ</t>
  </si>
  <si>
    <t>Follow up guidelines for tasks &amp; release note for testing
- Maintenance activity not following general process
 - Following test car usage PI</t>
  </si>
  <si>
    <t>All the information and knowledge what we provided and working log, specification should be kept and trained internally</t>
  </si>
  <si>
    <t>Mid</t>
  </si>
  <si>
    <t>All achieved (100%): 0
1-2 cases : 0.5
3-5 cases: Story point 1
&lt;6 cases: Story point 1.5</t>
  </si>
  <si>
    <t>KPM Ticket rules
 - KPM Ticket creation
 - KPM Check-back
 - KPM Verification</t>
  </si>
  <si>
    <t>All achieved (100%): 0
1-2 cases : 0.5
3-5 cases: Story point : 1
6-9 cases: Story point : 1.5
&lt;10 cases: Story point : 2</t>
  </si>
  <si>
    <t>KPM ticket quality</t>
  </si>
  <si>
    <t>Free testing</t>
  </si>
  <si>
    <t>All achieved (100%): 0
1-2 cases : 0.5
3-5 cases: Story point : 1
6-9 cases: Story point : 1.5
10-12 cases: Story point : 2
&lt;13 cases: Story point : 2.5
or 0 cases: 2.5</t>
  </si>
  <si>
    <t>May (Count)</t>
    <phoneticPr fontId="18" type="noConversion"/>
  </si>
  <si>
    <t>Jun (Count)</t>
    <phoneticPr fontId="18" type="noConversion"/>
  </si>
  <si>
    <t>KPI</t>
    <phoneticPr fontId="18" type="noConversion"/>
  </si>
  <si>
    <t>Jul(Count)</t>
    <phoneticPr fontId="18" type="noConversion"/>
  </si>
  <si>
    <t>Aug(Count)</t>
    <phoneticPr fontId="18" type="noConversion"/>
  </si>
  <si>
    <t>Sep(Count)</t>
    <phoneticPr fontId="18" type="noConversion"/>
  </si>
  <si>
    <t>Oct(Count)</t>
    <phoneticPr fontId="18" type="noConversion"/>
  </si>
  <si>
    <t>Nov(Count)</t>
    <phoneticPr fontId="18" type="noConversion"/>
  </si>
  <si>
    <t>Dec(Count)</t>
    <phoneticPr fontId="18" type="noConversion"/>
  </si>
  <si>
    <t>Max</t>
    <phoneticPr fontId="18" type="noConversion"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</si>
  <si>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</si>
  <si>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</si>
  <si>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</si>
  <si>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</si>
  <si>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</si>
  <si>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</si>
  <si>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</si>
  <si>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</si>
  <si>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</si>
  <si>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</si>
  <si>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</si>
  <si>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</si>
  <si>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Case (Max 85 cases)</t>
  </si>
  <si>
    <t>Value (Max 16.5 point)</t>
  </si>
  <si>
    <t>Total</t>
    <phoneticPr fontId="18" type="noConversion"/>
  </si>
  <si>
    <t>Meeting target date of tasks in Jira tickets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</si>
</sst>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0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KPI measurement - 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export!$C$14</c:f>
              <c:strCache>
                <c:ptCount val="1"/>
                <c:pt idx="0">
                  <c:v>Case (Max 85 cases)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export!$D$13:$P$13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export!$D$14:$P$14</c:f>
              <c:numCache>
                <c:formatCode>0%</c:formatCode>
                <c:ptCount val="13"/>
                <c:pt idx="1">
                  <c:v>0.13414634146341464</c:v>
                </c:pt>
                <c:pt idx="2">
                  <c:v>0.25609756097560976</c:v>
                </c:pt>
                <c:pt idx="3">
                  <c:v>0.28048780487804881</c:v>
                </c:pt>
                <c:pt idx="4">
                  <c:v>0.1951219512195122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4-476C-BDFA-78420C23A7AB}"/>
            </c:ext>
          </c:extLst>
        </c:ser>
        <c:ser>
          <c:idx val="1"/>
          <c:order val="1"/>
          <c:tx>
            <c:strRef>
              <c:f>export!$C$15</c:f>
              <c:strCache>
                <c:ptCount val="1"/>
                <c:pt idx="0">
                  <c:v>Value (Max 16.5 point)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export!$D$13:$P$13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export!$D$15:$P$15</c:f>
              <c:numCache>
                <c:formatCode>0%</c:formatCode>
                <c:ptCount val="13"/>
                <c:pt idx="1">
                  <c:v>0.81818181818181812</c:v>
                </c:pt>
                <c:pt idx="2">
                  <c:v>0.75757575757575757</c:v>
                </c:pt>
                <c:pt idx="3">
                  <c:v>0.72727272727272729</c:v>
                </c:pt>
                <c:pt idx="4">
                  <c:v>0.72727272727272729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44-476C-BDFA-78420C23A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074352"/>
        <c:axId val="1875076272"/>
      </c:barChart>
      <c:catAx>
        <c:axId val="187507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5076272"/>
        <c:crosses val="autoZero"/>
        <c:auto val="1"/>
        <c:lblAlgn val="ctr"/>
        <c:lblOffset val="100"/>
        <c:noMultiLvlLbl val="0"/>
      </c:catAx>
      <c:valAx>
        <c:axId val="187507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507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KPI</a:t>
            </a:r>
            <a:r>
              <a:rPr lang="en-US" altLang="ko-KR" baseline="0"/>
              <a:t> count monthly - AnD 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export!$E$1</c:f>
              <c:strCache>
                <c:ptCount val="1"/>
                <c:pt idx="0">
                  <c:v>Jan (Count)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export!$A$2:$A$9</c:f>
              <c:strCache>
                <c:ptCount val="8"/>
                <c:pt idx="0">
                  <c:v>Meeting target date of tasks in Jira tickets</c:v>
                </c:pt>
                <c:pt idx="1">
                  <c:v>Job Status update
repoting of general blockers/ job stoppers</c:v>
                </c:pt>
                <c:pt idx="2">
                  <c:v>Resource issue for tasks mentioned in RFQ</c:v>
                </c:pt>
                <c:pt idx="3">
                  <c:v>Follow up guidelines for tasks &amp; release note for testing
- Maintenance activity not following general process
 - Following test car usage PI</c:v>
                </c:pt>
                <c:pt idx="4">
                  <c:v>All the information and knowledge what we provided and working log, specification should be kept and trained internally</c:v>
                </c:pt>
                <c:pt idx="5">
                  <c:v>KPM Ticket rules
 - KPM Ticket creation
 - KPM Check-back
 - KPM Verification</c:v>
                </c:pt>
                <c:pt idx="6">
                  <c:v>KPM ticket quality</c:v>
                </c:pt>
                <c:pt idx="7">
                  <c:v>Free testing</c:v>
                </c:pt>
              </c:strCache>
            </c:strRef>
          </c:cat>
          <c:val>
            <c:numRef>
              <c:f>export!$E$2:$E$9</c:f>
              <c:numCache>
                <c:formatCode>General</c:formatCode>
                <c:ptCount val="8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7-46D2-8748-9C4232BE9B40}"/>
            </c:ext>
          </c:extLst>
        </c:ser>
        <c:ser>
          <c:idx val="1"/>
          <c:order val="1"/>
          <c:tx>
            <c:strRef>
              <c:f>export!$G$1</c:f>
              <c:strCache>
                <c:ptCount val="1"/>
                <c:pt idx="0">
                  <c:v>Feb (Count)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export!$A$2:$A$9</c:f>
              <c:strCache>
                <c:ptCount val="8"/>
                <c:pt idx="0">
                  <c:v>Meeting target date of tasks in Jira tickets</c:v>
                </c:pt>
                <c:pt idx="1">
                  <c:v>Job Status update
repoting of general blockers/ job stoppers</c:v>
                </c:pt>
                <c:pt idx="2">
                  <c:v>Resource issue for tasks mentioned in RFQ</c:v>
                </c:pt>
                <c:pt idx="3">
                  <c:v>Follow up guidelines for tasks &amp; release note for testing
- Maintenance activity not following general process
 - Following test car usage PI</c:v>
                </c:pt>
                <c:pt idx="4">
                  <c:v>All the information and knowledge what we provided and working log, specification should be kept and trained internally</c:v>
                </c:pt>
                <c:pt idx="5">
                  <c:v>KPM Ticket rules
 - KPM Ticket creation
 - KPM Check-back
 - KPM Verification</c:v>
                </c:pt>
                <c:pt idx="6">
                  <c:v>KPM ticket quality</c:v>
                </c:pt>
                <c:pt idx="7">
                  <c:v>Free testing</c:v>
                </c:pt>
              </c:strCache>
            </c:strRef>
          </c:cat>
          <c:val>
            <c:numRef>
              <c:f>export!$G$2:$G$9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7-46D2-8748-9C4232BE9B40}"/>
            </c:ext>
          </c:extLst>
        </c:ser>
        <c:ser>
          <c:idx val="2"/>
          <c:order val="2"/>
          <c:tx>
            <c:strRef>
              <c:f>export!$I$1</c:f>
              <c:strCache>
                <c:ptCount val="1"/>
                <c:pt idx="0">
                  <c:v>Mar(Count)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export!$A$2:$A$9</c:f>
              <c:strCache>
                <c:ptCount val="8"/>
                <c:pt idx="0">
                  <c:v>Meeting target date of tasks in Jira tickets</c:v>
                </c:pt>
                <c:pt idx="1">
                  <c:v>Job Status update
repoting of general blockers/ job stoppers</c:v>
                </c:pt>
                <c:pt idx="2">
                  <c:v>Resource issue for tasks mentioned in RFQ</c:v>
                </c:pt>
                <c:pt idx="3">
                  <c:v>Follow up guidelines for tasks &amp; release note for testing
- Maintenance activity not following general process
 - Following test car usage PI</c:v>
                </c:pt>
                <c:pt idx="4">
                  <c:v>All the information and knowledge what we provided and working log, specification should be kept and trained internally</c:v>
                </c:pt>
                <c:pt idx="5">
                  <c:v>KPM Ticket rules
 - KPM Ticket creation
 - KPM Check-back
 - KPM Verification</c:v>
                </c:pt>
                <c:pt idx="6">
                  <c:v>KPM ticket quality</c:v>
                </c:pt>
                <c:pt idx="7">
                  <c:v>Free testing</c:v>
                </c:pt>
              </c:strCache>
            </c:strRef>
          </c:cat>
          <c:val>
            <c:numRef>
              <c:f>export!$I$2:$I$9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11</c:v>
                </c:pt>
                <c:pt idx="6">
                  <c:v>11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67-46D2-8748-9C4232BE9B40}"/>
            </c:ext>
          </c:extLst>
        </c:ser>
        <c:ser>
          <c:idx val="3"/>
          <c:order val="3"/>
          <c:tx>
            <c:strRef>
              <c:f>export!$K$1</c:f>
              <c:strCache>
                <c:ptCount val="1"/>
                <c:pt idx="0">
                  <c:v>Apr(Count)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export!$A$2:$A$9</c:f>
              <c:strCache>
                <c:ptCount val="8"/>
                <c:pt idx="0">
                  <c:v>Meeting target date of tasks in Jira tickets</c:v>
                </c:pt>
                <c:pt idx="1">
                  <c:v>Job Status update
repoting of general blockers/ job stoppers</c:v>
                </c:pt>
                <c:pt idx="2">
                  <c:v>Resource issue for tasks mentioned in RFQ</c:v>
                </c:pt>
                <c:pt idx="3">
                  <c:v>Follow up guidelines for tasks &amp; release note for testing
- Maintenance activity not following general process
 - Following test car usage PI</c:v>
                </c:pt>
                <c:pt idx="4">
                  <c:v>All the information and knowledge what we provided and working log, specification should be kept and trained internally</c:v>
                </c:pt>
                <c:pt idx="5">
                  <c:v>KPM Ticket rules
 - KPM Ticket creation
 - KPM Check-back
 - KPM Verification</c:v>
                </c:pt>
                <c:pt idx="6">
                  <c:v>KPM ticket quality</c:v>
                </c:pt>
                <c:pt idx="7">
                  <c:v>Free testing</c:v>
                </c:pt>
              </c:strCache>
            </c:strRef>
          </c:cat>
          <c:val>
            <c:numRef>
              <c:f>export!$K$2:$K$9</c:f>
              <c:numCache>
                <c:formatCode>General</c:formatCode>
                <c:ptCount val="8"/>
                <c:pt idx="0">
                  <c:v>7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67-46D2-8748-9C4232BE9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1387472"/>
        <c:axId val="1181380752"/>
        <c:axId val="0"/>
      </c:bar3DChart>
      <c:catAx>
        <c:axId val="118138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81380752"/>
        <c:crosses val="autoZero"/>
        <c:auto val="1"/>
        <c:lblAlgn val="ctr"/>
        <c:lblOffset val="100"/>
        <c:noMultiLvlLbl val="0"/>
      </c:catAx>
      <c:valAx>
        <c:axId val="11813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8138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61910</xdr:colOff>
      <xdr:row>15</xdr:row>
      <xdr:rowOff>71437</xdr:rowOff>
    </xdr:from>
    <xdr:to>
      <xdr:col>15</xdr:col>
      <xdr:colOff>733424</xdr:colOff>
      <xdr:row>28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E28E0A-174F-22AD-82AE-E3E13DE8C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493568</xdr:colOff>
      <xdr:row>1</xdr:row>
      <xdr:rowOff>266700</xdr:rowOff>
    </xdr:from>
    <xdr:to>
      <xdr:col>29</xdr:col>
      <xdr:colOff>658091</xdr:colOff>
      <xdr:row>6</xdr:row>
      <xdr:rowOff>190501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AEA7E0-7D4D-9E3B-B68E-E4EDE9DBF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E359-EBE0-4416-B6C0-D1EC410E30BB}">
  <dimension ref="A1:AB15"/>
  <sheetViews>
    <sheetView tabSelected="1" zoomScaleNormal="100" workbookViewId="0">
      <selection activeCell="C3" sqref="C3"/>
    </sheetView>
  </sheetViews>
  <sheetFormatPr defaultRowHeight="16.5" x14ac:dyDescent="0.3"/>
  <cols>
    <col min="1" max="1" width="26.875" style="1" customWidth="1"/>
    <col min="2" max="2" width="16.125" style="1" customWidth="1"/>
    <col min="3" max="3" width="40" style="1" customWidth="1"/>
    <col min="4" max="4" width="13.125" style="1" customWidth="1"/>
    <col min="5" max="16" width="9.75" style="1" customWidth="1"/>
    <col min="17" max="17" width="16" style="1" customWidth="1"/>
    <col min="18" max="20" width="9.75" style="1" customWidth="1"/>
  </cols>
  <sheetData>
    <row r="1" spans="1:2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5</v>
      </c>
      <c r="I1" s="7" t="s">
        <v>7</v>
      </c>
      <c r="J1" s="7" t="s">
        <v>5</v>
      </c>
      <c r="K1" s="7" t="s">
        <v>8</v>
      </c>
      <c r="L1" s="7" t="s">
        <v>5</v>
      </c>
      <c r="M1" s="1" t="s">
        <v>24</v>
      </c>
      <c r="N1" s="1" t="s">
        <v>5</v>
      </c>
      <c r="O1" s="1" t="s">
        <v>25</v>
      </c>
      <c r="P1" s="1" t="s">
        <v>26</v>
      </c>
      <c r="Q1" s="1" t="s">
        <v>27</v>
      </c>
      <c r="R1" s="1" t="s">
        <v>5</v>
      </c>
      <c r="S1" s="1" t="s">
        <v>28</v>
      </c>
      <c r="T1" s="1" t="s">
        <v>5</v>
      </c>
      <c r="U1" s="1" t="s">
        <v>29</v>
      </c>
      <c r="V1" s="1" t="s">
        <v>5</v>
      </c>
      <c r="W1" s="1" t="s">
        <v>30</v>
      </c>
      <c r="X1" s="1" t="s">
        <v>5</v>
      </c>
      <c r="Y1" s="1" t="s">
        <v>31</v>
      </c>
      <c r="Z1" s="1" t="s">
        <v>5</v>
      </c>
      <c r="AA1" s="1" t="s">
        <v>32</v>
      </c>
      <c r="AB1" s="1" t="s">
        <v>5</v>
      </c>
    </row>
    <row r="2" spans="1:28" ht="99" x14ac:dyDescent="0.3">
      <c r="A2" s="9" t="s">
        <v>49</v>
      </c>
      <c r="B2" s="7" t="s">
        <v>9</v>
      </c>
      <c r="C2" s="9" t="s">
        <v>10</v>
      </c>
      <c r="D2" s="7">
        <v>2.5</v>
      </c>
      <c r="E2" s="7">
        <v>4</v>
      </c>
      <c r="F2" s="7">
        <v>1</v>
      </c>
      <c r="G2" s="7">
        <v>0</v>
      </c>
      <c r="H2" s="7">
        <v>0</v>
      </c>
      <c r="I2" s="7">
        <v>0</v>
      </c>
      <c r="J2" s="7">
        <v>0</v>
      </c>
      <c r="K2" s="7">
        <v>7</v>
      </c>
      <c r="L2" s="7">
        <v>1.5</v>
      </c>
    </row>
    <row r="3" spans="1:28" ht="82.5" x14ac:dyDescent="0.3">
      <c r="A3" s="9" t="s">
        <v>11</v>
      </c>
      <c r="B3" s="7" t="s">
        <v>12</v>
      </c>
      <c r="C3" s="9" t="s">
        <v>13</v>
      </c>
      <c r="D3" s="7">
        <v>2</v>
      </c>
      <c r="E3" s="7">
        <v>1</v>
      </c>
      <c r="F3" s="7">
        <v>0.5</v>
      </c>
      <c r="G3" s="7">
        <v>3</v>
      </c>
      <c r="H3" s="7">
        <v>1</v>
      </c>
      <c r="I3" s="7">
        <v>0</v>
      </c>
      <c r="J3" s="7">
        <v>0</v>
      </c>
      <c r="K3" s="7">
        <v>2</v>
      </c>
      <c r="L3" s="7">
        <v>0.5</v>
      </c>
    </row>
    <row r="4" spans="1:28" ht="82.5" x14ac:dyDescent="0.3">
      <c r="A4" s="12" t="s">
        <v>14</v>
      </c>
      <c r="B4" s="7" t="s">
        <v>12</v>
      </c>
      <c r="C4" s="9" t="s">
        <v>13</v>
      </c>
      <c r="D4" s="7">
        <v>2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1</v>
      </c>
      <c r="L4" s="7">
        <v>0.5</v>
      </c>
    </row>
    <row r="5" spans="1:28" ht="82.5" x14ac:dyDescent="0.3">
      <c r="A5" s="9" t="s">
        <v>15</v>
      </c>
      <c r="B5" s="7" t="s">
        <v>12</v>
      </c>
      <c r="C5" s="9" t="s">
        <v>13</v>
      </c>
      <c r="D5" s="7">
        <v>2</v>
      </c>
      <c r="E5" s="7">
        <v>0</v>
      </c>
      <c r="F5" s="7">
        <v>0</v>
      </c>
      <c r="G5" s="7">
        <v>0</v>
      </c>
      <c r="H5" s="7">
        <v>0</v>
      </c>
      <c r="I5" s="7">
        <v>1</v>
      </c>
      <c r="J5" s="7">
        <v>0.5</v>
      </c>
      <c r="K5" s="7">
        <v>1</v>
      </c>
      <c r="L5" s="7">
        <v>0.5</v>
      </c>
    </row>
    <row r="6" spans="1:28" ht="66" x14ac:dyDescent="0.3">
      <c r="A6" s="12" t="s">
        <v>16</v>
      </c>
      <c r="B6" s="7" t="s">
        <v>17</v>
      </c>
      <c r="C6" s="9" t="s">
        <v>18</v>
      </c>
      <c r="D6" s="7">
        <v>1.5</v>
      </c>
      <c r="E6" s="7">
        <v>4</v>
      </c>
      <c r="F6" s="7">
        <v>1</v>
      </c>
      <c r="G6" s="7">
        <v>11</v>
      </c>
      <c r="H6" s="7">
        <v>1.5</v>
      </c>
      <c r="I6" s="7">
        <v>0</v>
      </c>
      <c r="J6" s="7">
        <v>0</v>
      </c>
      <c r="K6" s="7">
        <v>2</v>
      </c>
      <c r="L6" s="7">
        <v>0.5</v>
      </c>
    </row>
    <row r="7" spans="1:28" ht="82.5" x14ac:dyDescent="0.3">
      <c r="A7" s="9" t="s">
        <v>19</v>
      </c>
      <c r="B7" s="7" t="s">
        <v>12</v>
      </c>
      <c r="C7" s="9" t="s">
        <v>20</v>
      </c>
      <c r="D7" s="7">
        <v>2</v>
      </c>
      <c r="E7" s="7">
        <v>0</v>
      </c>
      <c r="F7" s="7">
        <v>0</v>
      </c>
      <c r="G7" s="7">
        <v>0</v>
      </c>
      <c r="H7" s="7">
        <v>0</v>
      </c>
      <c r="I7" s="7">
        <v>11</v>
      </c>
      <c r="J7" s="7">
        <v>2</v>
      </c>
      <c r="K7" s="7">
        <v>0</v>
      </c>
      <c r="L7" s="7">
        <v>0</v>
      </c>
    </row>
    <row r="8" spans="1:28" ht="82.5" x14ac:dyDescent="0.3">
      <c r="A8" s="12" t="s">
        <v>21</v>
      </c>
      <c r="B8" s="7" t="s">
        <v>12</v>
      </c>
      <c r="C8" s="9" t="s">
        <v>20</v>
      </c>
      <c r="D8" s="7">
        <v>2</v>
      </c>
      <c r="E8" s="7">
        <v>2</v>
      </c>
      <c r="F8" s="7">
        <v>0.5</v>
      </c>
      <c r="G8" s="7">
        <v>0</v>
      </c>
      <c r="H8" s="7">
        <v>0</v>
      </c>
      <c r="I8" s="7">
        <v>11</v>
      </c>
      <c r="J8" s="7">
        <v>2</v>
      </c>
      <c r="K8" s="7">
        <v>2</v>
      </c>
      <c r="L8" s="7">
        <v>0.5</v>
      </c>
    </row>
    <row r="9" spans="1:28" ht="115.5" x14ac:dyDescent="0.3">
      <c r="A9" s="12" t="s">
        <v>22</v>
      </c>
      <c r="B9" s="7" t="s">
        <v>9</v>
      </c>
      <c r="C9" s="9" t="s">
        <v>23</v>
      </c>
      <c r="D9" s="7">
        <v>2.5</v>
      </c>
      <c r="E9" s="7">
        <v>0</v>
      </c>
      <c r="F9" s="7">
        <v>0</v>
      </c>
      <c r="G9" s="7">
        <v>7</v>
      </c>
      <c r="H9" s="7">
        <v>1.5</v>
      </c>
      <c r="I9" s="7">
        <v>0</v>
      </c>
      <c r="J9" s="7">
        <v>0</v>
      </c>
      <c r="K9" s="7">
        <v>1</v>
      </c>
      <c r="L9" s="7">
        <v>0.5</v>
      </c>
    </row>
    <row r="10" spans="1:28" x14ac:dyDescent="0.3">
      <c r="A10" s="7"/>
      <c r="B10" s="7" t="s">
        <v>33</v>
      </c>
      <c r="C10" s="7">
        <v>82</v>
      </c>
      <c r="D10" s="5">
        <v>16.5</v>
      </c>
      <c r="E10" s="7">
        <v>11</v>
      </c>
      <c r="F10" s="5">
        <v>3</v>
      </c>
      <c r="G10" s="7">
        <v>21</v>
      </c>
      <c r="H10" s="5">
        <v>4</v>
      </c>
      <c r="I10" s="7">
        <v>23</v>
      </c>
      <c r="J10" s="5">
        <v>4.5</v>
      </c>
      <c r="K10" s="7">
        <v>16</v>
      </c>
      <c r="L10" s="5">
        <v>4.5</v>
      </c>
      <c r="N10" s="2"/>
      <c r="P10" s="2"/>
      <c r="R10" s="2"/>
      <c r="T10" s="2"/>
    </row>
    <row r="11" spans="1:28" x14ac:dyDescent="0.3">
      <c r="A11" s="7"/>
      <c r="B11" s="7"/>
      <c r="C11" s="7"/>
      <c r="D11" s="8"/>
      <c r="E11" s="6">
        <f>(E10/$C$10)</f>
        <v>0.13414634146341464</v>
      </c>
      <c r="F11" s="6">
        <f>1-(F10/$D$10)</f>
        <v>0.81818181818181812</v>
      </c>
      <c r="G11" s="6">
        <f>(G10/$C$10)</f>
        <v>0.25609756097560976</v>
      </c>
      <c r="H11" s="6">
        <f>1-(H10/$D$10)</f>
        <v>0.75757575757575757</v>
      </c>
      <c r="I11" s="6">
        <f>(I10/$C$10)</f>
        <v>0.28048780487804881</v>
      </c>
      <c r="J11" s="6">
        <f>1-(J10/$D$10)</f>
        <v>0.72727272727272729</v>
      </c>
      <c r="K11" s="6">
        <f>(K10/$C$10)</f>
        <v>0.1951219512195122</v>
      </c>
      <c r="L11" s="6">
        <f>1-(L10/$D$10)</f>
        <v>0.72727272727272729</v>
      </c>
    </row>
    <row r="13" spans="1:28" x14ac:dyDescent="0.3">
      <c r="C13" s="10" t="s">
        <v>0</v>
      </c>
      <c r="D13" s="10"/>
      <c r="E13" s="4" t="s">
        <v>34</v>
      </c>
      <c r="F13" s="4" t="s">
        <v>35</v>
      </c>
      <c r="G13" s="4" t="s">
        <v>36</v>
      </c>
      <c r="H13" s="4" t="s">
        <v>37</v>
      </c>
      <c r="I13" s="4" t="s">
        <v>38</v>
      </c>
      <c r="J13" s="4" t="s">
        <v>39</v>
      </c>
      <c r="K13" s="4" t="s">
        <v>40</v>
      </c>
      <c r="L13" s="4" t="s">
        <v>41</v>
      </c>
      <c r="M13" s="4" t="s">
        <v>42</v>
      </c>
      <c r="N13" s="4" t="s">
        <v>43</v>
      </c>
      <c r="O13" s="4" t="s">
        <v>44</v>
      </c>
      <c r="P13" s="4" t="s">
        <v>45</v>
      </c>
      <c r="Q13" s="1" t="s">
        <v>48</v>
      </c>
    </row>
    <row r="14" spans="1:28" x14ac:dyDescent="0.3">
      <c r="C14" s="11" t="s">
        <v>46</v>
      </c>
      <c r="D14" s="11"/>
      <c r="E14" s="6">
        <f>(E10/$C$10)</f>
        <v>0.13414634146341464</v>
      </c>
      <c r="F14" s="6">
        <f>(G10/$C$10)</f>
        <v>0.25609756097560976</v>
      </c>
      <c r="G14" s="6">
        <f>(I10/$C$10)</f>
        <v>0.28048780487804881</v>
      </c>
      <c r="H14" s="6">
        <f>(K10/$C$10)</f>
        <v>0.1951219512195122</v>
      </c>
      <c r="I14" s="6"/>
      <c r="J14" s="6"/>
      <c r="K14" s="5"/>
      <c r="L14" s="5"/>
      <c r="M14" s="5"/>
      <c r="N14" s="5"/>
      <c r="O14" s="5"/>
      <c r="P14" s="5"/>
      <c r="Q14" s="3">
        <f>AVERAGE(E14:P14)</f>
        <v>0.21646341463414637</v>
      </c>
    </row>
    <row r="15" spans="1:28" x14ac:dyDescent="0.3">
      <c r="C15" s="11" t="s">
        <v>47</v>
      </c>
      <c r="D15" s="11"/>
      <c r="E15" s="6">
        <f>1-(F10/$D$10)</f>
        <v>0.81818181818181812</v>
      </c>
      <c r="F15" s="6">
        <f>1-(H10/$D$10)</f>
        <v>0.75757575757575757</v>
      </c>
      <c r="G15" s="6">
        <f>1-(J10/$D$10)</f>
        <v>0.72727272727272729</v>
      </c>
      <c r="H15" s="6">
        <f>1-(L10/$D$10)</f>
        <v>0.72727272727272729</v>
      </c>
      <c r="I15" s="5"/>
      <c r="J15" s="5"/>
      <c r="K15" s="5"/>
      <c r="L15" s="5"/>
      <c r="M15" s="5"/>
      <c r="N15" s="5"/>
      <c r="O15" s="5"/>
      <c r="P15" s="5"/>
      <c r="Q15" s="3">
        <f>AVERAGE(E15:P15)</f>
        <v>0.75757575757575757</v>
      </c>
    </row>
  </sheetData>
  <mergeCells count="3">
    <mergeCell ref="C13:D13"/>
    <mergeCell ref="C14:D14"/>
    <mergeCell ref="C15:D15"/>
  </mergeCells>
  <phoneticPr fontId="18" type="noConversion"/>
  <pageMargins left="0.7" right="0.7" top="0.75" bottom="0.75" header="0.3" footer="0.3"/>
  <pageSetup paperSize="9" orientation="portrait" horizontalDpi="300" verticalDpi="0" r:id="rId1"/>
  <headerFooter>
    <oddHeader>&amp;L&amp;"Arial"&amp;8&amp;K000000 INTERNAL&amp;1#_x000D_</oddHeader>
  </headerFooter>
  <ignoredErrors>
    <ignoredError sqref="F11 H11 J11" formula="1"/>
  </ignoredErrors>
  <drawing r:id="rId2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Jaeyoung (KO/GMD)</dc:creator>
  <cp:lastModifiedBy>Yoon, Jaeyoung (KO/GMD)</cp:lastModifiedBy>
  <dcterms:created xsi:type="dcterms:W3CDTF">2026-05-08T00:46:13Z</dcterms:created>
  <dcterms:modified xsi:type="dcterms:W3CDTF">2026-05-12T06:56:09Z</dcterms:modified>
</cp:coreProperties>
</file>